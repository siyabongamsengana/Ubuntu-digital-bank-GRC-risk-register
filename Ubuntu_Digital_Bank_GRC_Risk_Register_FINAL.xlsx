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ce02ec20f814283" /></Relationships>
</file>

<file path=xl/workbook.xml><?xml version="1.0" encoding="utf-8"?>
<x:workbook xmlns:x="http://schemas.openxmlformats.org/spreadsheetml/2006/main">
  <x:sheets>
    <x:sheet xmlns:r="http://schemas.openxmlformats.org/officeDocument/2006/relationships" name="Risk Register" sheetId="1" r:id="Rce214a02606140a2"/>
    <x:sheet xmlns:r="http://schemas.openxmlformats.org/officeDocument/2006/relationships" name="Read Me" sheetId="2" r:id="R57705362718c4cea"/>
    <x:sheet xmlns:r="http://schemas.openxmlformats.org/officeDocument/2006/relationships" name="Scoring Guide" sheetId="3" r:id="R062764474c4c4949"/>
    <x:sheet xmlns:r="http://schemas.openxmlformats.org/officeDocument/2006/relationships" name="Project Notes" sheetId="4" r:id="R12a406ad03ee4927"/>
    <x:sheet xmlns:r="http://schemas.openxmlformats.org/officeDocument/2006/relationships" name="Control Test Evidence" sheetId="5" r:id="Rf464ce29c7bf4774"/>
    <x:sheet xmlns:r="http://schemas.openxmlformats.org/officeDocument/2006/relationships" name="Action Tracker" sheetId="6" r:id="R6c342b64b8964e1e"/>
    <x:sheet xmlns:r="http://schemas.openxmlformats.org/officeDocument/2006/relationships" name="Final Project Summary" sheetId="7" r:id="R80e28fb79a0a4a65"/>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color theme="1"/>
      <x:name val="Calibri"/>
    </x:font>
    <x:font>
      <x:b/>
      <x:color rgb="FFFFFFFF"/>
    </x:font>
    <x:font>
      <x:b/>
      <x:sz val="18"/>
      <x:color rgb="FFFFFFFF"/>
    </x:font>
    <x:font>
      <x:b/>
      <x:color rgb="FF17365D"/>
    </x:font>
    <x:font>
      <x:b/>
      <x:sz val="11"/>
      <x:color rgb="FFFFFFFF"/>
      <x:name val="Calibri"/>
    </x:font>
  </x:fonts>
  <x:fills count="5">
    <x:fill>
      <x:patternFill patternType="none"/>
    </x:fill>
    <x:fill>
      <x:patternFill patternType="gray125"/>
    </x:fill>
    <x:fill>
      <x:patternFill patternType="solid">
        <x:fgColor rgb="FF17365D"/>
      </x:patternFill>
    </x:fill>
    <x:fill>
      <x:patternFill patternType="solid">
        <x:fgColor rgb="FF0F6B78"/>
      </x:patternFill>
    </x:fill>
    <x:fill>
      <x:patternFill patternType="solid">
        <x:fgColor rgb="FF12304A"/>
      </x:patternFill>
    </x:fill>
  </x:fills>
  <x:borders count="2">
    <x:border/>
    <x:border/>
  </x:borders>
  <x:cellStyleXfs count="1">
    <x:xf numFmtId="0" fontId="0" fillId="0" borderId="0"/>
  </x:cellStyleXfs>
  <x:cellXfs count="24">
    <x:xf numFmtId="0" fontId="0" fillId="0" borderId="0" xfId="0"/>
    <x:xf numFmtId="0" fontId="1" fillId="2" borderId="0" xfId="0" applyAlignment="1">
      <x:alignment vertical="center" wrapText="1"/>
    </x:xf>
    <x:xf numFmtId="0" fontId="0" fillId="0" borderId="0" xfId="0" applyAlignment="1">
      <x:alignment vertical="top" wrapText="1"/>
    </x:xf>
    <x:xf numFmtId="0" fontId="2" fillId="2" borderId="0" xfId="0"/>
    <x:xf numFmtId="0" fontId="3" fillId="0" borderId="0" xfId="0" applyAlignment="1">
      <x:alignment vertical="top" wrapText="1"/>
    </x:xf>
    <x:xf numFmtId="0" fontId="3" fillId="3" borderId="0" xfId="0" applyAlignment="1">
      <x:alignment vertical="top" wrapText="1"/>
    </x:xf>
    <x:xf numFmtId="0" fontId="1" fillId="3" borderId="0" xfId="0" applyAlignment="1">
      <x:alignment vertical="top" wrapText="1"/>
    </x:xf>
    <x:xf numFmtId="0" fontId="1" fillId="3" borderId="0" xfId="0"/>
    <x:xf numFmtId="0" fontId="1" fillId="2" borderId="0" xfId="0" applyAlignment="1">
      <x:alignment vertical="top" wrapText="1"/>
    </x:xf>
    <x:xf numFmtId="0" fontId="0" fillId="0" borderId="1" xfId="0" applyNumberFormat="1" applyFont="1" applyFill="1" applyBorder="1"/>
    <x:xf numFmtId="0" fontId="1" fillId="2" borderId="1" xfId="0" applyNumberFormat="1" applyFont="1" applyFill="1" applyBorder="1" applyAlignment="1">
      <x:alignment vertical="center" wrapText="1"/>
    </x:xf>
    <x:xf numFmtId="0" fontId="0" fillId="0" borderId="1" xfId="0" applyNumberFormat="1" applyFont="1" applyFill="1" applyBorder="1" applyAlignment="1">
      <x:alignment vertical="top" wrapText="1"/>
    </x:xf>
    <x:xf numFmtId="0" fontId="2" fillId="2" borderId="1" xfId="0" applyNumberFormat="1" applyFont="1" applyFill="1" applyBorder="1"/>
    <x:xf numFmtId="0" fontId="3" fillId="0" borderId="1" xfId="0" applyNumberFormat="1" applyFont="1" applyFill="1" applyBorder="1" applyAlignment="1">
      <x:alignment vertical="top" wrapText="1"/>
    </x:xf>
    <x:xf numFmtId="0" fontId="3" fillId="3" borderId="1" xfId="0" applyNumberFormat="1" applyFont="1" applyFill="1" applyBorder="1" applyAlignment="1">
      <x:alignment vertical="top" wrapText="1"/>
    </x:xf>
    <x:xf numFmtId="0" fontId="1" fillId="3" borderId="1" xfId="0" applyNumberFormat="1" applyFont="1" applyFill="1" applyBorder="1" applyAlignment="1">
      <x:alignment vertical="top" wrapText="1"/>
    </x:xf>
    <x:xf numFmtId="0" fontId="1" fillId="3" borderId="1" xfId="0" applyNumberFormat="1" applyFont="1" applyFill="1" applyBorder="1"/>
    <x:xf numFmtId="0" fontId="1" fillId="2" borderId="1" xfId="0" applyNumberFormat="1" applyFont="1" applyFill="1" applyBorder="1" applyAlignment="1">
      <x:alignment vertical="top"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4" borderId="0" xfId="0" applyNumberFormat="1" applyFont="1" applyFill="1" applyBorder="1"/>
    <x:xf numFmtId="0" fontId="4" fillId="4" borderId="0" xfId="0" applyNumberFormat="1" applyFont="1" applyFill="1" applyBorder="1"/>
    <x:xf numFmtId="0" fontId="0" fillId="4" borderId="1" xfId="0" applyNumberFormat="1" applyFont="1" applyFill="1" applyBorder="1"/>
    <x:xf numFmtId="0" fontId="4" fillId="4" borderId="1" xfId="0" applyNumberFormat="1" applyFont="1" applyFill="1" applyBorder="1"/>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c9aad53dbf8a4924" /><Relationship Type="http://schemas.openxmlformats.org/officeDocument/2006/relationships/theme" Target="/xl/theme/theme1.xml" Id="R09b14f1ef2c643c9" /><Relationship Type="http://schemas.openxmlformats.org/officeDocument/2006/relationships/sharedStrings" Target="/xl/sharedStrings.xml" Id="Ra0a29bf46815466b" /><Relationship Type="http://schemas.openxmlformats.org/officeDocument/2006/relationships/worksheet" Target="/xl/worksheets/sheet1.xml" Id="Rce214a02606140a2" /><Relationship Type="http://schemas.openxmlformats.org/officeDocument/2006/relationships/worksheet" Target="/xl/worksheets/sheet2.xml" Id="R57705362718c4cea" /><Relationship Type="http://schemas.openxmlformats.org/officeDocument/2006/relationships/worksheet" Target="/xl/worksheets/sheet3.xml" Id="R062764474c4c4949" /><Relationship Type="http://schemas.openxmlformats.org/officeDocument/2006/relationships/worksheet" Target="/xl/worksheets/sheet4.xml" Id="R12a406ad03ee4927" /><Relationship Type="http://schemas.openxmlformats.org/officeDocument/2006/relationships/worksheet" Target="/xl/worksheets/sheet5.xml" Id="Rf464ce29c7bf4774" /><Relationship Type="http://schemas.openxmlformats.org/officeDocument/2006/relationships/worksheet" Target="/xl/worksheets/sheet6.xml" Id="R6c342b64b8964e1e" /><Relationship Type="http://schemas.openxmlformats.org/officeDocument/2006/relationships/worksheet" Target="/xl/worksheets/sheet7.xml" Id="R80e28fb79a0a4a65" /></Relationships>
</file>

<file path=xl/tables/table1.xml><?xml version="1.0" encoding="utf-8"?>
<x:table xmlns:x="http://schemas.openxmlformats.org/spreadsheetml/2006/main" id="1" name="BankRiskRegister" displayName="BankRiskRegister" ref="A1:T11" headerRowCount="1">
  <x:autoFilter ref="A1:T11"/>
  <x:tableColumns count="20">
    <x:tableColumn id="1" name="Risk ID"/>
    <x:tableColumn id="2" name="Risk Category"/>
    <x:tableColumn id="3" name="Business Process / Asset"/>
    <x:tableColumn id="4" name="Risk Title"/>
    <x:tableColumn id="5" name="Risk Description (Cause → Event → Impact)"/>
    <x:tableColumn id="6" name="Likelihood (1–5)"/>
    <x:tableColumn id="7" name="Impact (1–5)"/>
    <x:tableColumn id="8" name="Inherent Risk Score"/>
    <x:tableColumn id="9" name="Inherent Risk Level"/>
    <x:tableColumn id="10" name="Existing Controls"/>
    <x:tableColumn id="11" name="Control Effectiveness"/>
    <x:tableColumn id="12" name="Residual Likelihood (1–5)"/>
    <x:tableColumn id="13" name="Residual Impact (1–5)"/>
    <x:tableColumn id="14" name="Residual Risk Score"/>
    <x:tableColumn id="15" name="Residual Risk Level"/>
    <x:tableColumn id="16" name="Treatment / Action"/>
    <x:tableColumn id="17" name="Risk Owner"/>
    <x:tableColumn id="18" name="Target Date"/>
    <x:tableColumn id="19" name="Status"/>
    <x:tableColumn id="20" name="Evidence / Notes"/>
  </x:tableColumns>
  <x:tableStyleInfo name="TableStyleMedium2"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57713a30c07b418c" /></Relationships>
</file>

<file path=xl/worksheets/sheet1.xml><?xml version="1.0" encoding="utf-8"?>
<x:worksheet xmlns:x="http://schemas.openxmlformats.org/spreadsheetml/2006/main">
  <x:sheetViews>
    <x:sheetView workbookViewId="0">
      <x:pane ySplit="1" topLeftCell="A2" activePane="bottomLeft" state="frozen"/>
    </x:sheetView>
  </x:sheetViews>
  <x:sheetFormatPr baseColWidth="8" defaultRowHeight="15"/>
  <x:cols>
    <x:col min="1" max="1" width="10" customWidth="1"/>
    <x:col min="2" max="2" width="22" customWidth="1"/>
    <x:col min="3" max="3" width="27" customWidth="1"/>
    <x:col min="4" max="4" width="32" customWidth="1"/>
    <x:col min="5" max="5" width="58" customWidth="1"/>
    <x:col min="6" max="6" width="16" customWidth="1"/>
    <x:col min="7" max="7" width="13" customWidth="1"/>
    <x:col min="8" max="8" width="18" customWidth="1"/>
    <x:col min="9" max="9" width="18" customWidth="1"/>
    <x:col min="10" max="10" width="42" customWidth="1"/>
    <x:col min="11" max="11" width="22" customWidth="1"/>
    <x:col min="12" max="12" width="22" customWidth="1"/>
    <x:col min="13" max="13" width="21" customWidth="1"/>
    <x:col min="14" max="14" width="19" customWidth="1"/>
    <x:col min="15" max="15" width="20" customWidth="1"/>
    <x:col min="16" max="16" width="54" customWidth="1"/>
    <x:col min="17" max="17" width="26" customWidth="1"/>
    <x:col min="18" max="18" width="16" customWidth="1"/>
    <x:col min="19" max="19" width="16" customWidth="1"/>
    <x:col min="20" max="20" width="48" customWidth="1"/>
  </x:cols>
  <x:sheetData>
    <x:row r="1" ht="44" customHeight="1">
      <x:c r="A1" s="1" t="inlineStr">
        <x:is>
          <x:t xml:space="preserve">Risk ID</x:t>
        </x:is>
      </x:c>
      <x:c r="B1" s="1" t="inlineStr">
        <x:is>
          <x:t xml:space="preserve">Risk Category</x:t>
        </x:is>
      </x:c>
      <x:c r="C1" s="1" t="inlineStr">
        <x:is>
          <x:t xml:space="preserve">Business Process / Asset</x:t>
        </x:is>
      </x:c>
      <x:c r="D1" s="1" t="inlineStr">
        <x:is>
          <x:t xml:space="preserve">Risk Title</x:t>
        </x:is>
      </x:c>
      <x:c r="E1" s="1" t="inlineStr">
        <x:is>
          <x:t xml:space="preserve">Risk Description (Cause → Event → Impact)</x:t>
        </x:is>
      </x:c>
      <x:c r="F1" s="1" t="inlineStr">
        <x:is>
          <x:t xml:space="preserve">Likelihood (1–5)</x:t>
        </x:is>
      </x:c>
      <x:c r="G1" s="1" t="inlineStr">
        <x:is>
          <x:t xml:space="preserve">Impact (1–5)</x:t>
        </x:is>
      </x:c>
      <x:c r="H1" s="1" t="inlineStr">
        <x:is>
          <x:t xml:space="preserve">Inherent Risk Score</x:t>
        </x:is>
      </x:c>
      <x:c r="I1" s="1" t="inlineStr">
        <x:is>
          <x:t xml:space="preserve">Inherent Risk Level</x:t>
        </x:is>
      </x:c>
      <x:c r="J1" s="1" t="inlineStr">
        <x:is>
          <x:t xml:space="preserve">Existing Controls</x:t>
        </x:is>
      </x:c>
      <x:c r="K1" s="1" t="inlineStr">
        <x:is>
          <x:t xml:space="preserve">Control Effectiveness</x:t>
        </x:is>
      </x:c>
      <x:c r="L1" s="1" t="inlineStr">
        <x:is>
          <x:t xml:space="preserve">Residual Likelihood (1–5)</x:t>
        </x:is>
      </x:c>
      <x:c r="M1" s="1" t="inlineStr">
        <x:is>
          <x:t xml:space="preserve">Residual Impact (1–5)</x:t>
        </x:is>
      </x:c>
      <x:c r="N1" s="1" t="inlineStr">
        <x:is>
          <x:t xml:space="preserve">Residual Risk Score</x:t>
        </x:is>
      </x:c>
      <x:c r="O1" s="1" t="inlineStr">
        <x:is>
          <x:t xml:space="preserve">Residual Risk Level</x:t>
        </x:is>
      </x:c>
      <x:c r="P1" s="1" t="inlineStr">
        <x:is>
          <x:t xml:space="preserve">Treatment / Action</x:t>
        </x:is>
      </x:c>
      <x:c r="Q1" s="1" t="inlineStr">
        <x:is>
          <x:t xml:space="preserve">Risk Owner</x:t>
        </x:is>
      </x:c>
      <x:c r="R1" s="1" t="inlineStr">
        <x:is>
          <x:t xml:space="preserve">Target Date</x:t>
        </x:is>
      </x:c>
      <x:c r="S1" s="1" t="inlineStr">
        <x:is>
          <x:t xml:space="preserve">Status</x:t>
        </x:is>
      </x:c>
      <x:c r="T1" s="1" t="inlineStr">
        <x:is>
          <x:t xml:space="preserve">Evidence / Notes</x:t>
        </x:is>
      </x:c>
    </x:row>
    <x:row r="2" ht="86" customHeight="1">
      <x:c r="A2" s="2" t="inlineStr">
        <x:is>
          <x:t xml:space="preserve">R-001</x:t>
        </x:is>
      </x:c>
      <x:c r="B2" s="2" t="inlineStr">
        <x:is>
          <x:t xml:space="preserve">Cybersecurity</x:t>
        </x:is>
      </x:c>
      <x:c r="C2" s="2" t="inlineStr">
        <x:is>
          <x:t xml:space="preserve">Mobile banking / customer accounts</x:t>
        </x:is>
      </x:c>
      <x:c r="D2" s="2" t="inlineStr">
        <x:is>
          <x:t xml:space="preserve">Customer account takeover</x:t>
        </x:is>
      </x:c>
      <x:c r="E2" s="2" t="inlineStr">
        <x:is>
          <x:t xml:space="preserve">If criminals obtain customer credentials through phishing or credential stuffing, they may access accounts and make unauthorised transactions, causing customer harm, financial loss and reputational damage.</x:t>
        </x:is>
      </x:c>
      <x:c r="F2" s="2" t="n">
        <x:v>4</x:v>
      </x:c>
      <x:c r="G2" s="2" t="n">
        <x:v>5</x:v>
      </x:c>
      <x:c r="H2" s="2" t="n">
        <x:f>F2*G2</x:f>
        <x:v>20</x:v>
      </x:c>
      <x:c r="I2" s="2" t="str">
        <x:f>IF(H2&lt;=5,"Low",IF(H2&lt;=11,"Medium",IF(H2&lt;=19,"High","Critical")))</x:f>
        <x:v>Critical</x:v>
      </x:c>
      <x:c r="J2" s="2" t="str">
        <x:v>MFA enforced for relevant access (no known bypass identified); suspicious-login monitoring; account recovery identity checks; partial phishing awareness training</x:v>
      </x:c>
      <x:c r="K2" s="2" t="str">
        <x:v>Partially effective</x:v>
      </x:c>
      <x:c r="L2" s="2" t="n">
        <x:v>3</x:v>
      </x:c>
      <x:c r="M2" s="2" t="n">
        <x:v>5</x:v>
      </x:c>
      <x:c r="N2" s="2" t="n">
        <x:f>L2*M2</x:f>
        <x:v>15</x:v>
      </x:c>
      <x:c r="O2" s="2" t="str">
        <x:f>IF(N2&lt;=5,"Low",IF(N2&lt;=11,"Medium",IF(N2&lt;=19,"High","Critical")))</x:f>
        <x:v>High</x:v>
      </x:c>
      <x:c r="P2" s="2" t="str">
        <x:v>Reduce further: complete staff phishing training and controlled retests; verify continued MFA coverage, login monitoring and account recovery effectiveness; escalate High residual risk for authorised review.</x:v>
      </x:c>
      <x:c r="Q2" s="2" t="str">
        <x:v>Fraud Operations Manager (proposed risk owner; Information Security supports)</x:v>
      </x:c>
      <x:c r="R2" s="2" t="str">
        <x:v>2027-01-31</x:v>
      </x:c>
      <x:c r="S2" s="2" t="str">
        <x:v>Open — High residual risk; further action pending</x:v>
      </x:c>
      <x:c r="T2" s="2" t="str">
        <x:v>SIMULATED evidence: login monitoring initially 18/20 alerts (2 new-device misses), then rules updated and 20/20 alerted/investigated on time. Recovery initially 3/4 passed; identity verification improved, then 4/4 passed. Phishing simulation: 100 staff; 20 clicked, 5 submitted credentials, 10 reported. Training partial. Residual 3x5=15 retained provisionally; tests do not prove all real attacks are prevented.</x:v>
      </x:c>
    </x:row>
    <x:row r="3" ht="86" customHeight="1">
      <x:c r="A3" s="2" t="inlineStr">
        <x:is>
          <x:t xml:space="preserve">R-002</x:t>
        </x:is>
      </x:c>
      <x:c r="B3" s="2" t="inlineStr">
        <x:is>
          <x:t xml:space="preserve">Availability / Resilience</x:t>
        </x:is>
      </x:c>
      <x:c r="C3" s="2" t="inlineStr">
        <x:is>
          <x:t xml:space="preserve">Mobile app and API services</x:t>
        </x:is>
      </x:c>
      <x:c r="D3" s="2" t="inlineStr">
        <x:is>
          <x:t xml:space="preserve">Digital banking service outage</x:t>
        </x:is>
      </x:c>
      <x:c r="E3" s="2" t="inlineStr">
        <x:is>
          <x:t xml:space="preserve">If a production change, infrastructure failure or traffic spike disrupts core services, customers may be unable to access accounts or make payments, causing operational disruption and complaints.</x:t>
        </x:is>
      </x:c>
      <x:c r="F3" s="2" t="n">
        <x:v>3</x:v>
      </x:c>
      <x:c r="G3" s="2" t="n">
        <x:v>5</x:v>
      </x:c>
      <x:c r="H3" s="2" t="n">
        <x:f>F3*G3</x:f>
        <x:v>15</x:v>
      </x:c>
      <x:c r="I3" s="2" t="str">
        <x:f>IF(H3&lt;=5,"Low",IF(H3&lt;=11,"Medium",IF(H3&lt;=19,"High","Critical")))</x:f>
        <x:v>High</x:v>
      </x:c>
      <x:c r="J3" s="2" t="inlineStr">
        <x:is>
          <x:t xml:space="preserve">Service monitoring; change approval process; infrastructure backups</x:t>
        </x:is>
      </x:c>
      <x:c r="K3" s="2" t="inlineStr">
        <x:is>
          <x:t xml:space="preserve">Partially effective</x:t>
        </x:is>
      </x:c>
      <x:c r="L3" s="2" t="n">
        <x:v>2</x:v>
      </x:c>
      <x:c r="M3" s="2" t="n">
        <x:v>5</x:v>
      </x:c>
      <x:c r="N3" s="2" t="n">
        <x:f>L3*M3</x:f>
        <x:v>10</x:v>
      </x:c>
      <x:c r="O3" s="2" t="str">
        <x:f>IF(N3&lt;=5,"Low",IF(N3&lt;=11,"Medium",IF(N3&lt;=19,"High","Critical")))</x:f>
        <x:v>Medium</x:v>
      </x:c>
      <x:c r="P3" s="2" t="inlineStr">
        <x:is>
          <x:t xml:space="preserve">Review recovery objectives; test disaster recovery; document incident escalation and customer communications.</x:t>
        </x:is>
      </x:c>
      <x:c r="Q3" s="2" t="inlineStr">
        <x:is>
          <x:t xml:space="preserve">IT Operations Manager</x:t>
        </x:is>
      </x:c>
      <x:c r="R3" s="2" t="inlineStr">
        <x:is>
          <x:t xml:space="preserve">2027-02-15</x:t>
        </x:is>
      </x:c>
      <x:c r="S3" s="2" t="inlineStr">
        <x:is>
          <x:t xml:space="preserve">Open</x:t>
        </x:is>
      </x:c>
      <x:c r="T3" s="2" t="inlineStr">
        <x:is>
          <x:t xml:space="preserve">Illustrative scenario; confirm recovery tests and service targets.</x:t>
        </x:is>
      </x:c>
    </x:row>
    <x:row r="4" ht="86" customHeight="1">
      <x:c r="A4" s="2" t="inlineStr">
        <x:is>
          <x:t xml:space="preserve">R-003</x:t>
        </x:is>
      </x:c>
      <x:c r="B4" s="2" t="inlineStr">
        <x:is>
          <x:t xml:space="preserve">Data Protection</x:t>
        </x:is>
      </x:c>
      <x:c r="C4" s="2" t="inlineStr">
        <x:is>
          <x:t xml:space="preserve">Customer information database</x:t>
        </x:is>
      </x:c>
      <x:c r="D4" s="2" t="inlineStr">
        <x:is>
          <x:t xml:space="preserve">Unauthorised exposure of customer data</x:t>
        </x:is>
      </x:c>
      <x:c r="E4" s="2" t="inlineStr">
        <x:is>
          <x:t xml:space="preserve">If access permissions are excessive or a system is misconfigured, customer personal or financial information may be exposed, causing privacy harm, investigation costs and regulatory consequences.</x:t>
        </x:is>
      </x:c>
      <x:c r="F4" s="2" t="n">
        <x:v>3</x:v>
      </x:c>
      <x:c r="G4" s="2" t="n">
        <x:v>5</x:v>
      </x:c>
      <x:c r="H4" s="2" t="n">
        <x:f>F4*G4</x:f>
        <x:v>15</x:v>
      </x:c>
      <x:c r="I4" s="2" t="str">
        <x:f>IF(H4&lt;=5,"Low",IF(H4&lt;=11,"Medium",IF(H4&lt;=19,"High","Critical")))</x:f>
        <x:v>High</x:v>
      </x:c>
      <x:c r="J4" s="2" t="inlineStr">
        <x:is>
          <x:t xml:space="preserve">Role-based access; database logging; encryption in transit</x:t>
        </x:is>
      </x:c>
      <x:c r="K4" s="2" t="inlineStr">
        <x:is>
          <x:t xml:space="preserve">Partially effective</x:t>
        </x:is>
      </x:c>
      <x:c r="L4" s="2" t="n">
        <x:v>2</x:v>
      </x:c>
      <x:c r="M4" s="2" t="n">
        <x:v>5</x:v>
      </x:c>
      <x:c r="N4" s="2" t="n">
        <x:f>L4*M4</x:f>
        <x:v>10</x:v>
      </x:c>
      <x:c r="O4" s="2" t="str">
        <x:f>IF(N4&lt;=5,"Low",IF(N4&lt;=11,"Medium",IF(N4&lt;=19,"High","Critical")))</x:f>
        <x:v>Medium</x:v>
      </x:c>
      <x:c r="P4" s="2" t="inlineStr">
        <x:is>
          <x:t xml:space="preserve">Review access quarterly; verify encryption and logging; test alerting; document data incident response.</x:t>
        </x:is>
      </x:c>
      <x:c r="Q4" s="2" t="inlineStr">
        <x:is>
          <x:t xml:space="preserve">Information Security Manager</x:t>
        </x:is>
      </x:c>
      <x:c r="R4" s="2" t="inlineStr">
        <x:is>
          <x:t xml:space="preserve">2027-02-28</x:t>
        </x:is>
      </x:c>
      <x:c r="S4" s="2" t="inlineStr">
        <x:is>
          <x:t xml:space="preserve">Open</x:t>
        </x:is>
      </x:c>
      <x:c r="T4" s="2" t="inlineStr">
        <x:is>
          <x:t xml:space="preserve">Illustrative scenario; no real customer data used.</x:t>
        </x:is>
      </x:c>
    </x:row>
    <x:row r="5" ht="86" customHeight="1">
      <x:c r="A5" s="2" t="inlineStr">
        <x:is>
          <x:t xml:space="preserve">R-004</x:t>
        </x:is>
      </x:c>
      <x:c r="B5" s="2" t="inlineStr">
        <x:is>
          <x:t xml:space="preserve">Insider / Access Management</x:t>
        </x:is>
      </x:c>
      <x:c r="C5" s="2" t="inlineStr">
        <x:is>
          <x:t xml:space="preserve">Employee accounts and internal systems</x:t>
        </x:is>
      </x:c>
      <x:c r="D5" s="2" t="inlineStr">
        <x:is>
          <x:t xml:space="preserve">Excessive employee access</x:t>
        </x:is>
      </x:c>
      <x:c r="E5" s="2" t="inlineStr">
        <x:is>
          <x:t xml:space="preserve">If employee permissions are not matched to job responsibilities or are not removed promptly, a user may view or change information without a valid business need.</x:t>
        </x:is>
      </x:c>
      <x:c r="F5" s="2" t="n">
        <x:v>3</x:v>
      </x:c>
      <x:c r="G5" s="2" t="n">
        <x:v>4</x:v>
      </x:c>
      <x:c r="H5" s="2" t="n">
        <x:f>F5*G5</x:f>
        <x:v>12</x:v>
      </x:c>
      <x:c r="I5" s="2" t="str">
        <x:f>IF(H5&lt;=5,"Low",IF(H5&lt;=11,"Medium",IF(H5&lt;=19,"High","Critical")))</x:f>
        <x:v>High</x:v>
      </x:c>
      <x:c r="J5" s="2" t="inlineStr">
        <x:is>
          <x:t xml:space="preserve">Joiner-mover-leaver process; manager approval for access requests</x:t>
        </x:is>
      </x:c>
      <x:c r="K5" s="2" t="inlineStr">
        <x:is>
          <x:t xml:space="preserve">Partially effective</x:t>
        </x:is>
      </x:c>
      <x:c r="L5" s="2" t="n">
        <x:v>2</x:v>
      </x:c>
      <x:c r="M5" s="2" t="n">
        <x:v>4</x:v>
      </x:c>
      <x:c r="N5" s="2" t="n">
        <x:f>L5*M5</x:f>
        <x:v>8</x:v>
      </x:c>
      <x:c r="O5" s="2" t="str">
        <x:f>IF(N5&lt;=5,"Low",IF(N5&lt;=11,"Medium",IF(N5&lt;=19,"High","Critical")))</x:f>
        <x:v>Medium</x:v>
      </x:c>
      <x:c r="P5" s="2" t="inlineStr">
        <x:is>
          <x:t xml:space="preserve">Perform a user access review; check leaver access removal; record exceptions and approvals.</x:t>
        </x:is>
      </x:c>
      <x:c r="Q5" s="2" t="inlineStr">
        <x:is>
          <x:t xml:space="preserve">IT Access Manager</x:t>
        </x:is>
      </x:c>
      <x:c r="R5" s="2" t="inlineStr">
        <x:is>
          <x:t xml:space="preserve">2027-01-20</x:t>
        </x:is>
      </x:c>
      <x:c r="S5" s="2" t="inlineStr">
        <x:is>
          <x:t xml:space="preserve">Open</x:t>
        </x:is>
      </x:c>
      <x:c r="T5" s="2" t="inlineStr">
        <x:is>
          <x:t xml:space="preserve">Illustrative scenario; access review evidence should be retained.</x:t>
        </x:is>
      </x:c>
    </x:row>
    <x:row r="6" ht="86" customHeight="1">
      <x:c r="A6" s="2" t="inlineStr">
        <x:is>
          <x:t xml:space="preserve">R-005</x:t>
        </x:is>
      </x:c>
      <x:c r="B6" s="2" t="inlineStr">
        <x:is>
          <x:t xml:space="preserve">Change Management</x:t>
        </x:is>
      </x:c>
      <x:c r="C6" s="2" t="inlineStr">
        <x:is>
          <x:t xml:space="preserve">Mobile app and payment services</x:t>
        </x:is>
      </x:c>
      <x:c r="D6" s="2" t="inlineStr">
        <x:is>
          <x:t xml:space="preserve">Uncontrolled production change</x:t>
        </x:is>
      </x:c>
      <x:c r="E6" s="2" t="inlineStr">
        <x:is>
          <x:t xml:space="preserve">If changes are deployed without appropriate testing, approval or rollback planning, a defect may cause incorrect processing, service disruption or security weaknesses.</x:t>
        </x:is>
      </x:c>
      <x:c r="F6" s="2" t="n">
        <x:v>3</x:v>
      </x:c>
      <x:c r="G6" s="2" t="n">
        <x:v>4</x:v>
      </x:c>
      <x:c r="H6" s="2" t="n">
        <x:f>F6*G6</x:f>
        <x:v>12</x:v>
      </x:c>
      <x:c r="I6" s="2" t="str">
        <x:f>IF(H6&lt;=5,"Low",IF(H6&lt;=11,"Medium",IF(H6&lt;=19,"High","Critical")))</x:f>
        <x:v>High</x:v>
      </x:c>
      <x:c r="J6" s="2" t="inlineStr">
        <x:is>
          <x:t xml:space="preserve">Change tickets; peer review for selected changes; pre-release testing</x:t>
        </x:is>
      </x:c>
      <x:c r="K6" s="2" t="inlineStr">
        <x:is>
          <x:t xml:space="preserve">Partially effective</x:t>
        </x:is>
      </x:c>
      <x:c r="L6" s="2" t="n">
        <x:v>2</x:v>
      </x:c>
      <x:c r="M6" s="2" t="n">
        <x:v>4</x:v>
      </x:c>
      <x:c r="N6" s="2" t="n">
        <x:f>L6*M6</x:f>
        <x:v>8</x:v>
      </x:c>
      <x:c r="O6" s="2" t="str">
        <x:f>IF(N6&lt;=5,"Low",IF(N6&lt;=11,"Medium",IF(N6&lt;=19,"High","Critical")))</x:f>
        <x:v>Medium</x:v>
      </x:c>
      <x:c r="P6" s="2" t="inlineStr">
        <x:is>
          <x:t xml:space="preserve">Define minimum approval and testing evidence; sample recent changes; confirm rollback plans are tested.</x:t>
        </x:is>
      </x:c>
      <x:c r="Q6" s="2" t="inlineStr">
        <x:is>
          <x:t xml:space="preserve">Application Support Manager</x:t>
        </x:is>
      </x:c>
      <x:c r="R6" s="2" t="inlineStr">
        <x:is>
          <x:t xml:space="preserve">2027-02-10</x:t>
        </x:is>
      </x:c>
      <x:c r="S6" s="2" t="inlineStr">
        <x:is>
          <x:t xml:space="preserve">Open</x:t>
        </x:is>
      </x:c>
      <x:c r="T6" s="2" t="inlineStr">
        <x:is>
          <x:t xml:space="preserve">Illustrative scenario; sample testing is not an actual audit.</x:t>
        </x:is>
      </x:c>
    </x:row>
    <x:row r="7" ht="86" customHeight="1">
      <x:c r="A7" s="2" t="inlineStr">
        <x:is>
          <x:t xml:space="preserve">R-006</x:t>
        </x:is>
      </x:c>
      <x:c r="B7" s="2" t="inlineStr">
        <x:is>
          <x:t xml:space="preserve">Third-Party Risk</x:t>
        </x:is>
      </x:c>
      <x:c r="C7" s="2" t="inlineStr">
        <x:is>
          <x:t xml:space="preserve">Cloud hosting / technology suppliers</x:t>
        </x:is>
      </x:c>
      <x:c r="D7" s="2" t="inlineStr">
        <x:is>
          <x:t xml:space="preserve">Critical supplier disruption</x:t>
        </x:is>
      </x:c>
      <x:c r="E7" s="2" t="inlineStr">
        <x:is>
          <x:t xml:space="preserve">If a critical technology provider experiences an outage or security incident, the bank's services or information may be affected, causing disruption and possible contractual or regulatory issues.</x:t>
        </x:is>
      </x:c>
      <x:c r="F7" s="2" t="n">
        <x:v>3</x:v>
      </x:c>
      <x:c r="G7" s="2" t="n">
        <x:v>5</x:v>
      </x:c>
      <x:c r="H7" s="2" t="n">
        <x:f>F7*G7</x:f>
        <x:v>15</x:v>
      </x:c>
      <x:c r="I7" s="2" t="str">
        <x:f>IF(H7&lt;=5,"Low",IF(H7&lt;=11,"Medium",IF(H7&lt;=19,"High","Critical")))</x:f>
        <x:v>High</x:v>
      </x:c>
      <x:c r="J7" s="2" t="inlineStr">
        <x:is>
          <x:t xml:space="preserve">Supplier contracts; service-level agreements; initial supplier assessment</x:t>
        </x:is>
      </x:c>
      <x:c r="K7" s="2" t="inlineStr">
        <x:is>
          <x:t xml:space="preserve">Partially effective</x:t>
        </x:is>
      </x:c>
      <x:c r="L7" s="2" t="n">
        <x:v>2</x:v>
      </x:c>
      <x:c r="M7" s="2" t="n">
        <x:v>5</x:v>
      </x:c>
      <x:c r="N7" s="2" t="n">
        <x:f>L7*M7</x:f>
        <x:v>10</x:v>
      </x:c>
      <x:c r="O7" s="2" t="str">
        <x:f>IF(N7&lt;=5,"Low",IF(N7&lt;=11,"Medium",IF(N7&lt;=19,"High","Critical")))</x:f>
        <x:v>Medium</x:v>
      </x:c>
      <x:c r="P7" s="2" t="inlineStr">
        <x:is>
          <x:t xml:space="preserve">Identify critical suppliers; review assurance reports and incident notification terms; test contingency options.</x:t>
        </x:is>
      </x:c>
      <x:c r="Q7" s="2" t="inlineStr">
        <x:is>
          <x:t xml:space="preserve">Third-Party Risk Manager</x:t>
        </x:is>
      </x:c>
      <x:c r="R7" s="2" t="inlineStr">
        <x:is>
          <x:t xml:space="preserve">2027-03-15</x:t>
        </x:is>
      </x:c>
      <x:c r="S7" s="2" t="inlineStr">
        <x:is>
          <x:t xml:space="preserve">Open</x:t>
        </x:is>
      </x:c>
      <x:c r="T7" s="2" t="inlineStr">
        <x:is>
          <x:t xml:space="preserve">Illustrative scenario; do not assume supplier assurance is current.</x:t>
        </x:is>
      </x:c>
    </x:row>
    <x:row r="8" ht="86" customHeight="1">
      <x:c r="A8" s="2" t="inlineStr">
        <x:is>
          <x:t xml:space="preserve">R-007</x:t>
        </x:is>
      </x:c>
      <x:c r="B8" s="2" t="inlineStr">
        <x:is>
          <x:t xml:space="preserve">Fraud / Transaction Monitoring</x:t>
        </x:is>
      </x:c>
      <x:c r="C8" s="2" t="inlineStr">
        <x:is>
          <x:t xml:space="preserve">Digital payments</x:t>
        </x:is>
      </x:c>
      <x:c r="D8" s="2" t="inlineStr">
        <x:is>
          <x:t xml:space="preserve">Suspicious transactions not detected promptly</x:t>
        </x:is>
      </x:c>
      <x:c r="E8" s="2" t="inlineStr">
        <x:is>
          <x:t xml:space="preserve">If transaction monitoring rules or review processes fail to identify suspicious activity, fraudulent transfers may continue before intervention, increasing financial losses and customer harm.</x:t>
        </x:is>
      </x:c>
      <x:c r="F8" s="2" t="n">
        <x:v>3</x:v>
      </x:c>
      <x:c r="G8" s="2" t="n">
        <x:v>5</x:v>
      </x:c>
      <x:c r="H8" s="2" t="n">
        <x:f>F8*G8</x:f>
        <x:v>15</x:v>
      </x:c>
      <x:c r="I8" s="2" t="str">
        <x:f>IF(H8&lt;=5,"Low",IF(H8&lt;=11,"Medium",IF(H8&lt;=19,"High","Critical")))</x:f>
        <x:v>High</x:v>
      </x:c>
      <x:c r="J8" s="2" t="inlineStr">
        <x:is>
          <x:t xml:space="preserve">Transaction monitoring rules; fraud investigation queue; customer alerts</x:t>
        </x:is>
      </x:c>
      <x:c r="K8" s="2" t="inlineStr">
        <x:is>
          <x:t xml:space="preserve">Partially effective</x:t>
        </x:is>
      </x:c>
      <x:c r="L8" s="2" t="n">
        <x:v>2</x:v>
      </x:c>
      <x:c r="M8" s="2" t="n">
        <x:v>5</x:v>
      </x:c>
      <x:c r="N8" s="2" t="n">
        <x:f>L8*M8</x:f>
        <x:v>10</x:v>
      </x:c>
      <x:c r="O8" s="2" t="str">
        <x:f>IF(N8&lt;=5,"Low",IF(N8&lt;=11,"Medium",IF(N8&lt;=19,"High","Critical")))</x:f>
        <x:v>Medium</x:v>
      </x:c>
      <x:c r="P8" s="2" t="inlineStr">
        <x:is>
          <x:t xml:space="preserve">Review alert thresholds and backlog; test scenarios; define escalation and response-time measures.</x:t>
        </x:is>
      </x:c>
      <x:c r="Q8" s="2" t="inlineStr">
        <x:is>
          <x:t xml:space="preserve">Fraud Risk Manager</x:t>
        </x:is>
      </x:c>
      <x:c r="R8" s="2" t="inlineStr">
        <x:is>
          <x:t xml:space="preserve">2027-02-20</x:t>
        </x:is>
      </x:c>
      <x:c r="S8" s="2" t="inlineStr">
        <x:is>
          <x:t xml:space="preserve">Open</x:t>
        </x:is>
      </x:c>
      <x:c r="T8" s="2" t="inlineStr">
        <x:is>
          <x:t xml:space="preserve">Illustrative scenario; effectiveness requires evidence and testing.</x:t>
        </x:is>
      </x:c>
    </x:row>
    <x:row r="9" ht="86" customHeight="1">
      <x:c r="A9" s="2" t="inlineStr">
        <x:is>
          <x:t xml:space="preserve">R-008</x:t>
        </x:is>
      </x:c>
      <x:c r="B9" s="2" t="inlineStr">
        <x:is>
          <x:t xml:space="preserve">Backup / Recovery</x:t>
        </x:is>
      </x:c>
      <x:c r="C9" s="2" t="inlineStr">
        <x:is>
          <x:t xml:space="preserve">Critical banking data and systems</x:t>
        </x:is>
      </x:c>
      <x:c r="D9" s="2" t="inlineStr">
        <x:is>
          <x:t xml:space="preserve">Backups cannot be restored</x:t>
        </x:is>
      </x:c>
      <x:c r="E9" s="2" t="inlineStr">
        <x:is>
          <x:t xml:space="preserve">If backups are incomplete, corrupted or not tested, the bank may be unable to recover critical data or services after a failure or cyber incident.</x:t>
        </x:is>
      </x:c>
      <x:c r="F9" s="2" t="n">
        <x:v>2</x:v>
      </x:c>
      <x:c r="G9" s="2" t="n">
        <x:v>5</x:v>
      </x:c>
      <x:c r="H9" s="2" t="n">
        <x:f>F9*G9</x:f>
        <x:v>10</x:v>
      </x:c>
      <x:c r="I9" s="2" t="str">
        <x:f>IF(H9&lt;=5,"Low",IF(H9&lt;=11,"Medium",IF(H9&lt;=19,"High","Critical")))</x:f>
        <x:v>Medium</x:v>
      </x:c>
      <x:c r="J9" s="2" t="inlineStr">
        <x:is>
          <x:t xml:space="preserve">Scheduled backups; backup job monitoring</x:t>
        </x:is>
      </x:c>
      <x:c r="K9" s="2" t="inlineStr">
        <x:is>
          <x:t xml:space="preserve">Partially effective</x:t>
        </x:is>
      </x:c>
      <x:c r="L9" s="2" t="n">
        <x:v>2</x:v>
      </x:c>
      <x:c r="M9" s="2" t="n">
        <x:v>4</x:v>
      </x:c>
      <x:c r="N9" s="2" t="n">
        <x:f>L9*M9</x:f>
        <x:v>8</x:v>
      </x:c>
      <x:c r="O9" s="2" t="str">
        <x:f>IF(N9&lt;=5,"Low",IF(N9&lt;=11,"Medium",IF(N9&lt;=19,"High","Critical")))</x:f>
        <x:v>Medium</x:v>
      </x:c>
      <x:c r="P9" s="2" t="inlineStr">
        <x:is>
          <x:t xml:space="preserve">Conduct a documented restore test; verify backup coverage, protection and recovery time results.</x:t>
        </x:is>
      </x:c>
      <x:c r="Q9" s="2" t="inlineStr">
        <x:is>
          <x:t xml:space="preserve">IT Resilience Manager</x:t>
        </x:is>
      </x:c>
      <x:c r="R9" s="2" t="inlineStr">
        <x:is>
          <x:t xml:space="preserve">2027-02-05</x:t>
        </x:is>
      </x:c>
      <x:c r="S9" s="2" t="inlineStr">
        <x:is>
          <x:t xml:space="preserve">Open</x:t>
        </x:is>
      </x:c>
      <x:c r="T9" s="2" t="inlineStr">
        <x:is>
          <x:t xml:space="preserve">Illustrative scenario; backup success is not the same as successful restoration.</x:t>
        </x:is>
      </x:c>
    </x:row>
    <x:row r="10" ht="86" customHeight="1">
      <x:c r="A10" s="2" t="inlineStr">
        <x:is>
          <x:t xml:space="preserve">R-009</x:t>
        </x:is>
      </x:c>
      <x:c r="B10" s="2" t="inlineStr">
        <x:is>
          <x:t xml:space="preserve">People / Security Awareness</x:t>
        </x:is>
      </x:c>
      <x:c r="C10" s="2" t="inlineStr">
        <x:is>
          <x:t xml:space="preserve">Employees and contractors</x:t>
        </x:is>
      </x:c>
      <x:c r="D10" s="2" t="inlineStr">
        <x:is>
          <x:t xml:space="preserve">Employee falls for phishing</x:t>
        </x:is>
      </x:c>
      <x:c r="E10" s="2" t="inlineStr">
        <x:is>
          <x:t xml:space="preserve">If staff are not able to recognise phishing or report suspicious messages, attackers may gain access to accounts or systems, leading to fraud or data exposure.</x:t>
        </x:is>
      </x:c>
      <x:c r="F10" s="2" t="n">
        <x:v>4</x:v>
      </x:c>
      <x:c r="G10" s="2" t="n">
        <x:v>4</x:v>
      </x:c>
      <x:c r="H10" s="2" t="n">
        <x:f>F10*G10</x:f>
        <x:v>16</x:v>
      </x:c>
      <x:c r="I10" s="2" t="str">
        <x:f>IF(H10&lt;=5,"Low",IF(H10&lt;=11,"Medium",IF(H10&lt;=19,"High","Critical")))</x:f>
        <x:v>High</x:v>
      </x:c>
      <x:c r="J10" s="2" t="inlineStr">
        <x:is>
          <x:t xml:space="preserve">Security awareness training; email filtering; reporting mailbox</x:t>
        </x:is>
      </x:c>
      <x:c r="K10" s="2" t="inlineStr">
        <x:is>
          <x:t xml:space="preserve">Partially effective</x:t>
        </x:is>
      </x:c>
      <x:c r="L10" s="2" t="n">
        <x:v>3</x:v>
      </x:c>
      <x:c r="M10" s="2" t="n">
        <x:v>4</x:v>
      </x:c>
      <x:c r="N10" s="2" t="n">
        <x:f>L10*M10</x:f>
        <x:v>12</x:v>
      </x:c>
      <x:c r="O10" s="2" t="str">
        <x:f>IF(N10&lt;=5,"Low",IF(N10&lt;=11,"Medium",IF(N10&lt;=19,"High","Critical")))</x:f>
        <x:v>High</x:v>
      </x:c>
      <x:c r="P10" s="2" t="inlineStr">
        <x:is>
          <x:t xml:space="preserve">Run a targeted awareness exercise; review reporting rates and follow-up training; measure repeat issues.</x:t>
        </x:is>
      </x:c>
      <x:c r="Q10" s="2" t="inlineStr">
        <x:is>
          <x:t xml:space="preserve">Security Awareness Lead</x:t>
        </x:is>
      </x:c>
      <x:c r="R10" s="2" t="inlineStr">
        <x:is>
          <x:t xml:space="preserve">2027-03-01</x:t>
        </x:is>
      </x:c>
      <x:c r="S10" s="2" t="inlineStr">
        <x:is>
          <x:t xml:space="preserve">Open</x:t>
        </x:is>
      </x:c>
      <x:c r="T10" s="2" t="inlineStr">
        <x:is>
          <x:t xml:space="preserve">Illustrative scenario; use ethical, approved awareness testing only.</x:t>
        </x:is>
      </x:c>
    </x:row>
    <x:row r="11" ht="86" customHeight="1">
      <x:c r="A11" s="2" t="inlineStr">
        <x:is>
          <x:t xml:space="preserve">R-010</x:t>
        </x:is>
      </x:c>
      <x:c r="B11" s="2" t="inlineStr">
        <x:is>
          <x:t xml:space="preserve">Regulatory / Compliance</x:t>
        </x:is>
      </x:c>
      <x:c r="C11" s="2" t="inlineStr">
        <x:is>
          <x:t xml:space="preserve">Risk and compliance processes</x:t>
        </x:is>
      </x:c>
      <x:c r="D11" s="2" t="inlineStr">
        <x:is>
          <x:t xml:space="preserve">Compliance obligations are not tracked</x:t>
        </x:is>
      </x:c>
      <x:c r="E11" s="2" t="inlineStr">
        <x:is>
          <x:t xml:space="preserve">If regulatory and contractual obligations are not assigned, reviewed and evidenced, the bank may miss required actions or be unable to demonstrate that relevant controls operate as intended.</x:t>
        </x:is>
      </x:c>
      <x:c r="F11" s="2" t="n">
        <x:v>3</x:v>
      </x:c>
      <x:c r="G11" s="2" t="n">
        <x:v>5</x:v>
      </x:c>
      <x:c r="H11" s="2" t="n">
        <x:f>F11*G11</x:f>
        <x:v>15</x:v>
      </x:c>
      <x:c r="I11" s="2" t="str">
        <x:f>IF(H11&lt;=5,"Low",IF(H11&lt;=11,"Medium",IF(H11&lt;=19,"High","Critical")))</x:f>
        <x:v>High</x:v>
      </x:c>
      <x:c r="J11" s="2" t="inlineStr">
        <x:is>
          <x:t xml:space="preserve">Compliance calendar; policy owners; periodic management reporting</x:t>
        </x:is>
      </x:c>
      <x:c r="K11" s="2" t="inlineStr">
        <x:is>
          <x:t xml:space="preserve">Partially effective</x:t>
        </x:is>
      </x:c>
      <x:c r="L11" s="2" t="n">
        <x:v>2</x:v>
      </x:c>
      <x:c r="M11" s="2" t="n">
        <x:v>5</x:v>
      </x:c>
      <x:c r="N11" s="2" t="n">
        <x:f>L11*M11</x:f>
        <x:v>10</x:v>
      </x:c>
      <x:c r="O11" s="2" t="str">
        <x:f>IF(N11&lt;=5,"Low",IF(N11&lt;=11,"Medium",IF(N11&lt;=19,"High","Critical")))</x:f>
        <x:v>Medium</x:v>
      </x:c>
      <x:c r="P11" s="2" t="inlineStr">
        <x:is>
          <x:t xml:space="preserve">Create an obligations register with owners, review dates, evidence links and escalation for overdue items.</x:t>
        </x:is>
      </x:c>
      <x:c r="Q11" s="2" t="inlineStr">
        <x:is>
          <x:t xml:space="preserve">Head of Compliance</x:t>
        </x:is>
      </x:c>
      <x:c r="R11" s="2" t="inlineStr">
        <x:is>
          <x:t xml:space="preserve">2027-02-28</x:t>
        </x:is>
      </x:c>
      <x:c r="S11" s="2" t="inlineStr">
        <x:is>
          <x:t xml:space="preserve">Open</x:t>
        </x:is>
      </x:c>
      <x:c r="T11" s="2" t="inlineStr">
        <x:is>
          <x:t xml:space="preserve">Illustrative scenario; determine applicable obligations with qualified compliance staff.</x:t>
        </x:is>
      </x:c>
    </x:row>
    <x:row r="12" ht="82" customHeight="1">
      <x:c r="A12" s="18" t="str">
        <x:v>R-011</x:v>
      </x:c>
      <x:c r="B12" s="18" t="str">
        <x:v>Governance / Auditability</x:v>
      </x:c>
      <x:c r="C12" s="18" t="str">
        <x:v>Bank-wide security and operational control evidence</x:v>
      </x:c>
      <x:c r="D12" s="18" t="str">
        <x:v>Inconsistent evidence retention across departments</x:v>
      </x:c>
      <x:c r="E12" s="18" t="str">
        <x:v>If departments store or delete control-testing evidence inconsistently because there is no common retention process, the bank may be unable to demonstrate control effectiveness, causing audit findings, delayed investigations and reduced assurance.</x:v>
      </x:c>
      <x:c r="F12" s="18" t="n">
        <x:v>3</x:v>
      </x:c>
      <x:c r="G12" s="18" t="n">
        <x:v>4</x:v>
      </x:c>
      <x:c r="H12" s="18" t="n">
        <x:f>F12*G12</x:f>
        <x:v>12</x:v>
      </x:c>
      <x:c r="I12" s="18" t="str">
        <x:f>IF(H12&lt;=5,"Low",IF(H12&lt;=11,"Medium",IF(H12&lt;=19,"High","Critical")))</x:f>
        <x:v>High</x:v>
      </x:c>
      <x:c r="J12" s="18" t="str">
        <x:v>Department-specific evidence practices; some retesting performed, but no consistently applied bank-wide retention process evidenced</x:v>
      </x:c>
      <x:c r="K12" s="18" t="str">
        <x:v>Weak / not demonstrated</x:v>
      </x:c>
      <x:c r="L12" s="18" t="n">
        <x:v>3</x:v>
      </x:c>
      <x:c r="M12" s="18" t="n">
        <x:v>4</x:v>
      </x:c>
      <x:c r="N12" s="18" t="n">
        <x:f>L12*M12</x:f>
        <x:v>12</x:v>
      </x:c>
      <x:c r="O12" s="18" t="str">
        <x:f>IF(N12&lt;=5,"Low",IF(N12&lt;=11,"Medium",IF(N12&lt;=19,"High","Critical")))</x:f>
        <x:v>High</x:v>
      </x:c>
      <x:c r="P12" s="18" t="str">
        <x:v>Establish approved bank-wide retention policy and central secure repository; name accountable risk owner and departmental custodians; migrate relevant evidence; define access and retention periods; perform periodic compliance checks and escalate non-compliance.</x:v>
      </x:c>
      <x:c r="Q12" s="18" t="str">
        <x:v>Head of Risk / designated enterprise risk owner (proposed)</x:v>
      </x:c>
      <x:c r="R12" s="18" t="str">
        <x:v>2027-03-31</x:v>
      </x:c>
      <x:c r="S12" s="18" t="str">
        <x:v>Open — bank-wide remediation and verification pending</x:v>
      </x:c>
      <x:c r="T12" s="18" t="str">
        <x:v>SIMULATED scenario: evidence lost after a monitoring test; subsequent 20/20 retest passed but did not restore missing historical evidence. Similar gaps identified across three departments. Single bank-wide risk with department-specific actions. Scores 3x4 are preliminary illustrative ratings requiring formal validation.</x:v>
      </x:c>
    </x:row>
  </x:sheetData>
  <x:conditionalFormatting sqref="H2:H11">
    <x:cfRule type="colorScale" priority="1">
      <x:colorScale>
        <x:cfvo type="num" val="1"/>
        <x:cfvo type="num" val="10"/>
        <x:cfvo type="num" val="25"/>
        <x:color rgb="0063BE7B"/>
        <x:color rgb="00FFEB84"/>
        <x:color rgb="00F8696B"/>
      </x:colorScale>
    </x:cfRule>
  </x:conditionalFormatting>
  <x:conditionalFormatting sqref="N2:N11">
    <x:cfRule type="colorScale" priority="2">
      <x:colorScale>
        <x:cfvo type="num" val="1"/>
        <x:cfvo type="num" val="10"/>
        <x:cfvo type="num" val="25"/>
        <x:color rgb="0063BE7B"/>
        <x:color rgb="00FFEB84"/>
        <x:color rgb="00F8696B"/>
      </x:colorScale>
    </x:cfRule>
  </x:conditionalFormatting>
  <x:dataValidations count="3">
    <x:dataValidation type="whole" operator="between" allowBlank="1" showDropDown="0" showInputMessage="0" showErrorMessage="0" errorTitle="Invalid score" error="Enter a whole number from 1 to 5." promptTitle="Likelihood or impact" prompt="Use the scoring guide on the Read Me sheet." sqref="F2:G11 L2:M11">
      <x:formula1>1</x:formula1>
      <x:formula2>5</x:formula2>
    </x:dataValidation>
    <x:dataValidation type="list" allowBlank="1" showDropDown="0" showInputMessage="0" showErrorMessage="0" sqref="K2:K11">
      <x:formula1>"Effective,Partially effective,Ineffective,Not assessed"</x:formula1>
    </x:dataValidation>
    <x:dataValidation type="list" allowBlank="1" showDropDown="0" showInputMessage="0" showErrorMessage="0" sqref="S2:S11">
      <x:formula1>"Open,In progress,Blocked,Closed,Accepted"</x:formula1>
    </x:dataValidation>
  </x:dataValidations>
  <x:pageMargins left="0.7" right="0.7" top="0.75" bottom="0.75" header="0.3" footer="0.3"/>
  <x:tableParts count="1">
    <x:tablePart xmlns:r="http://schemas.openxmlformats.org/officeDocument/2006/relationships" r:id="R57713a30c07b418c"/>
  </x:tableParts>
</x:worksheet>
</file>

<file path=xl/worksheets/sheet2.xml><?xml version="1.0" encoding="utf-8"?>
<x:worksheet xmlns:x="http://schemas.openxmlformats.org/spreadsheetml/2006/main">
  <x:sheetViews>
    <x:sheetView workbookViewId="0">
      <x:pane ySplit="8" topLeftCell="A9" activePane="bottomLeft" state="frozen"/>
    </x:sheetView>
  </x:sheetViews>
  <x:sheetFormatPr baseColWidth="8" defaultRowHeight="15"/>
  <x:cols>
    <x:col min="1" max="1" width="32" customWidth="1"/>
    <x:col min="2" max="2" width="105" customWidth="1"/>
    <x:col min="3" max="3" width="20" customWidth="1"/>
    <x:col min="4" max="4" width="20" customWidth="1"/>
  </x:cols>
  <x:sheetData>
    <x:row r="1">
      <x:c r="A1" s="3" t="inlineStr">
        <x:is>
          <x:t xml:space="preserve">UBUNTU DIGITAL BANK — GRC RISK REGISTER</x:t>
        </x:is>
      </x:c>
    </x:row>
    <x:row r="3" ht="38" customHeight="1">
      <x:c r="A3" s="4" t="inlineStr">
        <x:is>
          <x:t xml:space="preserve">Project purpose</x:t>
        </x:is>
      </x:c>
      <x:c r="B3" s="2" t="inlineStr">
        <x:is>
          <x:t xml:space="preserve">A beginner portfolio exercise for identifying, assessing and tracking general banking and IT risks at a fictional South African digital bank.</x:t>
        </x:is>
      </x:c>
    </x:row>
    <x:row r="4" ht="38" customHeight="1">
      <x:c r="A4" s="4" t="inlineStr">
        <x:is>
          <x:t xml:space="preserve">Important limitation</x:t>
        </x:is>
      </x:c>
      <x:c r="B4" s="2" t="inlineStr">
        <x:is>
          <x:t xml:space="preserve">All risks, scores, controls, owners and dates are illustrative assumptions, not findings about a real bank. Validate any real assessment with appropriate stakeholders and applicable requirements.</x:t>
        </x:is>
      </x:c>
    </x:row>
    <x:row r="5" ht="38" customHeight="1">
      <x:c r="A5" s="4" t="n"/>
      <x:c r="B5" s="2" t="n"/>
    </x:row>
    <x:row r="6" ht="38" customHeight="1">
      <x:c r="A6" s="4" t="inlineStr">
        <x:is>
          <x:t xml:space="preserve">How to use the register</x:t>
        </x:is>
      </x:c>
      <x:c r="B6" s="2" t="inlineStr">
        <x:is>
          <x:t xml:space="preserve">1. Read each risk description. 2. Challenge the likelihood and impact scores. 3. Verify whether listed controls exist and work. 4. Assign actions and owners. 5. Update status and evidence as work progresses.</x:t>
        </x:is>
      </x:c>
    </x:row>
    <x:row r="7" ht="38" customHeight="1">
      <x:c r="A7" s="4" t="n"/>
      <x:c r="B7" s="2" t="n"/>
    </x:row>
    <x:row r="8" ht="38" customHeight="1">
      <x:c r="A8" s="5" t="inlineStr">
        <x:is>
          <x:t xml:space="preserve">Column</x:t>
        </x:is>
      </x:c>
      <x:c r="B8" s="6" t="inlineStr">
        <x:is>
          <x:t xml:space="preserve">Plain-English meaning</x:t>
        </x:is>
      </x:c>
      <x:c r="C8" s="7" t="n"/>
      <x:c r="D8" s="7" t="n"/>
    </x:row>
    <x:row r="9" ht="38" customHeight="1">
      <x:c r="A9" s="4" t="inlineStr">
        <x:is>
          <x:t xml:space="preserve">Risk ID</x:t>
        </x:is>
      </x:c>
      <x:c r="B9" s="2" t="inlineStr">
        <x:is>
          <x:t xml:space="preserve">Unique reference so a risk can be discussed without confusion.</x:t>
        </x:is>
      </x:c>
    </x:row>
    <x:row r="10" ht="38" customHeight="1">
      <x:c r="A10" s="4" t="inlineStr">
        <x:is>
          <x:t xml:space="preserve">Risk Category</x:t>
        </x:is>
      </x:c>
      <x:c r="B10" s="2" t="inlineStr">
        <x:is>
          <x:t xml:space="preserve">The type of risk, such as cybersecurity, availability or compliance.</x:t>
        </x:is>
      </x:c>
    </x:row>
    <x:row r="11" ht="38" customHeight="1">
      <x:c r="A11" s="4" t="inlineStr">
        <x:is>
          <x:t xml:space="preserve">Business Process / Asset</x:t>
        </x:is>
      </x:c>
      <x:c r="B11" s="2" t="inlineStr">
        <x:is>
          <x:t xml:space="preserve">The process, system, information or service that could be affected.</x:t>
        </x:is>
      </x:c>
    </x:row>
    <x:row r="12" ht="38" customHeight="1">
      <x:c r="A12" s="4" t="inlineStr">
        <x:is>
          <x:t xml:space="preserve">Risk Title</x:t>
        </x:is>
      </x:c>
      <x:c r="B12" s="2" t="inlineStr">
        <x:is>
          <x:t xml:space="preserve">Short name for the risk.</x:t>
        </x:is>
      </x:c>
    </x:row>
    <x:row r="13" ht="38" customHeight="1">
      <x:c r="A13" s="4" t="inlineStr">
        <x:is>
          <x:t xml:space="preserve">Risk Description</x:t>
        </x:is>
      </x:c>
      <x:c r="B13" s="2" t="inlineStr">
        <x:is>
          <x:t xml:space="preserve">Explain the cause, what could happen, and the impact.</x:t>
        </x:is>
      </x:c>
    </x:row>
    <x:row r="14" ht="38" customHeight="1">
      <x:c r="A14" s="4" t="inlineStr">
        <x:is>
          <x:t xml:space="preserve">Likelihood (1–5)</x:t>
        </x:is>
      </x:c>
      <x:c r="B14" s="2" t="inlineStr">
        <x:is>
          <x:t xml:space="preserve">How likely the event is before considering controls: 1 Rare, 2 Unlikely, 3 Possible, 4 Likely, 5 Almost certain.</x:t>
        </x:is>
      </x:c>
    </x:row>
    <x:row r="15" ht="38" customHeight="1">
      <x:c r="A15" s="4" t="inlineStr">
        <x:is>
          <x:t xml:space="preserve">Impact (1–5)</x:t>
        </x:is>
      </x:c>
      <x:c r="B15" s="2" t="inlineStr">
        <x:is>
          <x:t xml:space="preserve">How severe the consequences could be: 1 Insignificant, 2 Minor, 3 Moderate, 4 Major, 5 Severe.</x:t>
        </x:is>
      </x:c>
    </x:row>
    <x:row r="16" ht="38" customHeight="1">
      <x:c r="A16" s="4" t="inlineStr">
        <x:is>
          <x:t xml:space="preserve">Inherent Risk Score</x:t>
        </x:is>
      </x:c>
      <x:c r="B16" s="2" t="inlineStr">
        <x:is>
          <x:t xml:space="preserve">Likelihood × Impact before considering controls.</x:t>
        </x:is>
      </x:c>
    </x:row>
    <x:row r="17" ht="38" customHeight="1">
      <x:c r="A17" s="4" t="inlineStr">
        <x:is>
          <x:t xml:space="preserve">Inherent Risk Level</x:t>
        </x:is>
      </x:c>
      <x:c r="B17" s="2" t="inlineStr">
        <x:is>
          <x:t xml:space="preserve">Illustrative bands: 1–5 Low, 6–11 Medium, 12–19 High, 20–25 Critical.</x:t>
        </x:is>
      </x:c>
    </x:row>
    <x:row r="18" ht="38" customHeight="1">
      <x:c r="A18" s="4" t="inlineStr">
        <x:is>
          <x:t xml:space="preserve">Existing Controls</x:t>
        </x:is>
      </x:c>
      <x:c r="B18" s="2" t="inlineStr">
        <x:is>
          <x:t xml:space="preserve">Controls assumed to be in place. In a real assessment, verify with evidence.</x:t>
        </x:is>
      </x:c>
    </x:row>
    <x:row r="19" ht="38" customHeight="1">
      <x:c r="A19" s="4" t="inlineStr">
        <x:is>
          <x:t xml:space="preserve">Control Effectiveness</x:t>
        </x:is>
      </x:c>
      <x:c r="B19" s="2" t="inlineStr">
        <x:is>
          <x:t xml:space="preserve">Whether controls appear to work; do not rate as effective without evidence.</x:t>
        </x:is>
      </x:c>
    </x:row>
    <x:row r="20" ht="38" customHeight="1">
      <x:c r="A20" s="4" t="inlineStr">
        <x:is>
          <x:t xml:space="preserve">Residual Likelihood / Impact</x:t>
        </x:is>
      </x:c>
      <x:c r="B20" s="2" t="inlineStr">
        <x:is>
          <x:t xml:space="preserve">Estimated likelihood and impact after considering existing controls.</x:t>
        </x:is>
      </x:c>
    </x:row>
    <x:row r="21" ht="38" customHeight="1">
      <x:c r="A21" s="4" t="inlineStr">
        <x:is>
          <x:t xml:space="preserve">Residual Risk Score / Level</x:t>
        </x:is>
      </x:c>
      <x:c r="B21" s="2" t="inlineStr">
        <x:is>
          <x:t xml:space="preserve">Remaining risk after controls, calculated using residual likelihood × residual impact.</x:t>
        </x:is>
      </x:c>
    </x:row>
    <x:row r="22" ht="38" customHeight="1">
      <x:c r="A22" s="4" t="inlineStr">
        <x:is>
          <x:t xml:space="preserve">Treatment / Action</x:t>
        </x:is>
      </x:c>
      <x:c r="B22" s="2" t="inlineStr">
        <x:is>
          <x:t xml:space="preserve">What should be done to reduce, avoid, transfer or formally accept the risk.</x:t>
        </x:is>
      </x:c>
    </x:row>
    <x:row r="23" ht="38" customHeight="1">
      <x:c r="A23" s="4" t="inlineStr">
        <x:is>
          <x:t xml:space="preserve">Risk Owner</x:t>
        </x:is>
      </x:c>
      <x:c r="B23" s="2" t="inlineStr">
        <x:is>
          <x:t xml:space="preserve">Role accountable for managing the risk, not necessarily the person doing every action.</x:t>
        </x:is>
      </x:c>
    </x:row>
    <x:row r="24" ht="38" customHeight="1">
      <x:c r="A24" s="4" t="inlineStr">
        <x:is>
          <x:t xml:space="preserve">Target Date</x:t>
        </x:is>
      </x:c>
      <x:c r="B24" s="2" t="inlineStr">
        <x:is>
          <x:t xml:space="preserve">Target completion date for the planned action.</x:t>
        </x:is>
      </x:c>
    </x:row>
    <x:row r="25" ht="38" customHeight="1">
      <x:c r="A25" s="4" t="inlineStr">
        <x:is>
          <x:t xml:space="preserve">Status</x:t>
        </x:is>
      </x:c>
      <x:c r="B25" s="2" t="inlineStr">
        <x:is>
          <x:t xml:space="preserve">Progress state for the action.</x:t>
        </x:is>
      </x:c>
    </x:row>
    <x:row r="26" ht="38" customHeight="1">
      <x:c r="A26" s="4" t="inlineStr">
        <x:is>
          <x:t xml:space="preserve">Evidence / Notes</x:t>
        </x:is>
      </x:c>
      <x:c r="B26" s="2" t="inlineStr">
        <x:is>
          <x:t xml:space="preserve">Links to evidence, assumptions, decisions or follow-up notes.</x:t>
        </x:is>
      </x:c>
    </x:row>
  </x:sheetData>
  <x:mergeCells>
    <x:mergeCell ref="A1:D1"/>
  </x:mergeCells>
  <x:pageMargins left="0.7" right="0.7" top="0.75" bottom="0.75" header="0.3" footer="0.3"/>
</x:worksheet>
</file>

<file path=xl/worksheets/sheet3.xml><?xml version="1.0" encoding="utf-8"?>
<x:worksheet xmlns:x="http://schemas.openxmlformats.org/spreadsheetml/2006/main">
  <x:sheetViews>
    <x:sheetView workbookViewId="0">
      <x:pane ySplit="1" topLeftCell="A2" activePane="bottomLeft" state="frozen"/>
    </x:sheetView>
  </x:sheetViews>
  <x:sheetFormatPr baseColWidth="8" defaultRowHeight="15"/>
  <x:cols>
    <x:col min="1" max="1" width="18" customWidth="1"/>
    <x:col min="2" max="2" width="60" customWidth="1"/>
    <x:col min="3" max="3" width="75" customWidth="1"/>
  </x:cols>
  <x:sheetData>
    <x:row r="1">
      <x:c r="A1" s="8" t="inlineStr">
        <x:is>
          <x:t xml:space="preserve">Score</x:t>
        </x:is>
      </x:c>
      <x:c r="B1" s="8" t="inlineStr">
        <x:is>
          <x:t xml:space="preserve">Likelihood description</x:t>
        </x:is>
      </x:c>
      <x:c r="C1" s="8" t="inlineStr">
        <x:is>
          <x:t xml:space="preserve">Impact description</x:t>
        </x:is>
      </x:c>
    </x:row>
    <x:row r="2">
      <x:c r="A2" s="2" t="n">
        <x:v>1</x:v>
      </x:c>
      <x:c r="B2" s="2" t="inlineStr">
        <x:is>
          <x:t xml:space="preserve">Rare — exceptional circumstances</x:t>
        </x:is>
      </x:c>
      <x:c r="C2" s="2" t="inlineStr">
        <x:is>
          <x:t xml:space="preserve">Insignificant — negligible disruption or loss</x:t>
        </x:is>
      </x:c>
    </x:row>
    <x:row r="3">
      <x:c r="A3" s="2" t="n">
        <x:v>2</x:v>
      </x:c>
      <x:c r="B3" s="2" t="inlineStr">
        <x:is>
          <x:t xml:space="preserve">Unlikely — not expected but possible</x:t>
        </x:is>
      </x:c>
      <x:c r="C3" s="2" t="inlineStr">
        <x:is>
          <x:t xml:space="preserve">Minor — limited disruption; easily managed</x:t>
        </x:is>
      </x:c>
    </x:row>
    <x:row r="4">
      <x:c r="A4" s="2" t="n">
        <x:v>3</x:v>
      </x:c>
      <x:c r="B4" s="2" t="inlineStr">
        <x:is>
          <x:t xml:space="preserve">Possible — could occur sometimes</x:t>
        </x:is>
      </x:c>
      <x:c r="C4" s="2" t="inlineStr">
        <x:is>
          <x:t xml:space="preserve">Moderate — noticeable disruption or loss requiring management</x:t>
        </x:is>
      </x:c>
    </x:row>
    <x:row r="5">
      <x:c r="A5" s="2" t="n">
        <x:v>4</x:v>
      </x:c>
      <x:c r="B5" s="2" t="inlineStr">
        <x:is>
          <x:t xml:space="preserve">Likely — expected to occur in many circumstances</x:t>
        </x:is>
      </x:c>
      <x:c r="C5" s="2" t="inlineStr">
        <x:is>
          <x:t xml:space="preserve">Major — significant disruption, customer harm or financial impact</x:t>
        </x:is>
      </x:c>
    </x:row>
    <x:row r="6">
      <x:c r="A6" s="2" t="n">
        <x:v>5</x:v>
      </x:c>
      <x:c r="B6" s="2" t="inlineStr">
        <x:is>
          <x:t xml:space="preserve">Almost certain — expected frequently or imminent</x:t>
        </x:is>
      </x:c>
      <x:c r="C6" s="2" t="inlineStr">
        <x:is>
          <x:t xml:space="preserve">Severe — critical service disruption, major customer harm or severe consequences</x:t>
        </x:is>
      </x:c>
    </x:row>
    <x:row r="7">
      <x:c r="A7" s="2" t="n"/>
      <x:c r="B7" s="2" t="n"/>
      <x:c r="C7" s="2" t="n"/>
    </x:row>
    <x:row r="8">
      <x:c r="A8" s="6" t="inlineStr">
        <x:is>
          <x:t xml:space="preserve">Risk score</x:t>
        </x:is>
      </x:c>
      <x:c r="B8" s="6" t="inlineStr">
        <x:is>
          <x:t xml:space="preserve">Illustrative level</x:t>
        </x:is>
      </x:c>
      <x:c r="C8" s="6" t="n"/>
    </x:row>
    <x:row r="9">
      <x:c r="A9" s="2" t="n">
        <x:v>1</x:v>
      </x:c>
      <x:c r="B9" s="2" t="inlineStr">
        <x:is>
          <x:t xml:space="preserve">Low</x:t>
        </x:is>
      </x:c>
      <x:c r="C9" s="2" t="n"/>
    </x:row>
    <x:row r="10">
      <x:c r="A10" s="2" t="n">
        <x:v>5</x:v>
      </x:c>
      <x:c r="B10" s="2" t="inlineStr">
        <x:is>
          <x:t xml:space="preserve">Low</x:t>
        </x:is>
      </x:c>
      <x:c r="C10" s="2" t="n"/>
    </x:row>
    <x:row r="11">
      <x:c r="A11" s="2" t="n">
        <x:v>6</x:v>
      </x:c>
      <x:c r="B11" s="2" t="inlineStr">
        <x:is>
          <x:t xml:space="preserve">Medium</x:t>
        </x:is>
      </x:c>
      <x:c r="C11" s="2" t="n"/>
    </x:row>
    <x:row r="12">
      <x:c r="A12" s="2" t="n">
        <x:v>11</x:v>
      </x:c>
      <x:c r="B12" s="2" t="inlineStr">
        <x:is>
          <x:t xml:space="preserve">Medium</x:t>
        </x:is>
      </x:c>
      <x:c r="C12" s="2" t="n"/>
    </x:row>
    <x:row r="13">
      <x:c r="A13" s="2" t="n">
        <x:v>12</x:v>
      </x:c>
      <x:c r="B13" s="2" t="inlineStr">
        <x:is>
          <x:t xml:space="preserve">High</x:t>
        </x:is>
      </x:c>
      <x:c r="C13" s="2" t="n"/>
    </x:row>
    <x:row r="14">
      <x:c r="A14" s="2" t="n">
        <x:v>19</x:v>
      </x:c>
      <x:c r="B14" s="2" t="inlineStr">
        <x:is>
          <x:t xml:space="preserve">High</x:t>
        </x:is>
      </x:c>
      <x:c r="C14" s="2" t="n"/>
    </x:row>
    <x:row r="15">
      <x:c r="A15" s="2" t="n">
        <x:v>20</x:v>
      </x:c>
      <x:c r="B15" s="2" t="inlineStr">
        <x:is>
          <x:t xml:space="preserve">Critical</x:t>
        </x:is>
      </x:c>
      <x:c r="C15" s="2" t="n"/>
    </x:row>
    <x:row r="16">
      <x:c r="A16" s="2" t="n">
        <x:v>25</x:v>
      </x:c>
      <x:c r="B16" s="2" t="inlineStr">
        <x:is>
          <x:t xml:space="preserve">Critical</x:t>
        </x:is>
      </x:c>
      <x:c r="C16" s="2" t="n"/>
    </x:row>
  </x:sheetData>
  <x:pageMargins left="0.7" right="0.7" top="0.75" bottom="0.75" header="0.3" footer="0.3"/>
</x:worksheet>
</file>

<file path=xl/worksheets/sheet4.xml><?xml version="1.0" encoding="utf-8"?>
<x:worksheet xmlns:x="http://schemas.openxmlformats.org/spreadsheetml/2006/main">
  <x:sheetFormatPr baseColWidth="8" defaultRowHeight="15"/>
  <x:cols>
    <x:col min="1" max="1" width="28" customWidth="1"/>
    <x:col min="2" max="2" width="110" customWidth="1"/>
  </x:cols>
  <x:sheetData>
    <x:row r="1">
      <x:c r="A1" s="3" t="inlineStr">
        <x:is>
          <x:t xml:space="preserve">PORTFOLIO PROJECT NOTES</x:t>
        </x:is>
      </x:c>
    </x:row>
    <x:row r="3" ht="50" customHeight="1">
      <x:c r="A3" s="4" t="inlineStr">
        <x:is>
          <x:t xml:space="preserve">Project title</x:t>
        </x:is>
      </x:c>
      <x:c r="B3" s="2" t="inlineStr">
        <x:is>
          <x:t xml:space="preserve">General Banking &amp; IT Risk Register — Ubuntu Digital Bank (fictional)</x:t>
        </x:is>
      </x:c>
    </x:row>
    <x:row r="4" ht="50" customHeight="1">
      <x:c r="A4" s="4" t="inlineStr">
        <x:is>
          <x:t xml:space="preserve">Objective</x:t>
        </x:is>
      </x:c>
      <x:c r="B4" s="2" t="inlineStr">
        <x:is>
          <x:t xml:space="preserve">Demonstrate beginner-level risk identification, scoring, control thinking, treatment planning and tracking.</x:t>
        </x:is>
      </x:c>
    </x:row>
    <x:row r="5" ht="50" customHeight="1">
      <x:c r="A5" s="4" t="inlineStr">
        <x:is>
          <x:t xml:space="preserve">Scope</x:t>
        </x:is>
      </x:c>
      <x:c r="B5" s="2" t="inlineStr">
        <x:is>
          <x:t xml:space="preserve">General banking and IT risks. This is not a formal audit, legal opinion, regulatory assessment or certification assessment.</x:t>
        </x:is>
      </x:c>
    </x:row>
    <x:row r="6" ht="50" customHeight="1">
      <x:c r="A6" s="4" t="inlineStr">
        <x:is>
          <x:t xml:space="preserve">Method</x:t>
        </x:is>
      </x:c>
      <x:c r="B6" s="2" t="inlineStr">
        <x:is>
          <x:t xml:space="preserve">Illustrative 5×5 likelihood-impact matrix. Inherent risk is assessed before controls; residual risk is estimated after controls.</x:t>
        </x:is>
      </x:c>
    </x:row>
    <x:row r="7" ht="50" customHeight="1">
      <x:c r="A7" s="4" t="inlineStr">
        <x:is>
          <x:t xml:space="preserve">Next improvement</x:t>
        </x:is>
      </x:c>
      <x:c r="B7" s="2" t="inlineStr">
        <x:is>
          <x:t xml:space="preserve">Review each score, write a rationale, distinguish verified controls from assumptions, and add evidence references.</x:t>
        </x:is>
      </x:c>
    </x:row>
    <x:row r="8" ht="50" customHeight="1">
      <x:c r="A8" s="4" t="inlineStr">
        <x:is>
          <x:t xml:space="preserve">Portfolio evidence</x:t>
        </x:is>
      </x:c>
      <x:c r="B8" s="2" t="inlineStr">
        <x:is>
          <x:t xml:space="preserve">Keep a README, risk register, scoring guide, a one-page summary of the top risks, and a short reflection on limitations.</x:t>
        </x:is>
      </x:c>
    </x:row>
    <x:row r="9" ht="50" customHeight="1">
      <x:c r="A9" s="4" t="inlineStr">
        <x:is>
          <x:t xml:space="preserve">Ethics</x:t>
        </x:is>
      </x:c>
      <x:c r="B9" s="2" t="inlineStr">
        <x:is>
          <x:t xml:space="preserve">Use fictional data only. Do not upload confidential employer, customer, or production security information.</x:t>
        </x:is>
      </x:c>
    </x:row>
  </x:sheetData>
  <x:mergeCells>
    <x:mergeCell ref="A1:B1"/>
  </x:mergeCells>
  <x:pageMargins left="0.7" right="0.7" top="0.75" bottom="0.75" header="0.3" footer="0.3"/>
</x:worksheet>
</file>

<file path=xl/worksheets/sheet5.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4" hidden="0" customWidth="1"/>
    <x:col min="2" max="2" width="14" hidden="0" customWidth="1"/>
    <x:col min="3" max="3" width="36" hidden="0" customWidth="1"/>
    <x:col min="4" max="4" width="36" hidden="0" customWidth="1"/>
    <x:col min="5" max="5" width="36" hidden="0" customWidth="1"/>
    <x:col min="6" max="6" width="36" hidden="0" customWidth="1"/>
    <x:col min="7" max="7" width="36" hidden="0" customWidth="1"/>
  </x:cols>
  <x:sheetData>
    <x:row r="1" ht="30" customHeight="1">
      <x:c r="A1" s="21" t="str">
        <x:v>Test ID</x:v>
      </x:c>
      <x:c r="B1" s="21" t="str">
        <x:v>Related risk</x:v>
      </x:c>
      <x:c r="C1" s="21" t="str">
        <x:v>Simulated test / review</x:v>
      </x:c>
      <x:c r="D1" s="21" t="str">
        <x:v>Initial outcome</x:v>
      </x:c>
      <x:c r="E1" s="21" t="str">
        <x:v>Follow-up / retest</x:v>
      </x:c>
      <x:c r="F1" s="21" t="str">
        <x:v>Assessment</x:v>
      </x:c>
      <x:c r="G1" s="21" t="str">
        <x:v>Evidence status / limitation</x:v>
      </x:c>
    </x:row>
    <x:row r="2" ht="55" customHeight="1">
      <x:c r="A2" s="18" t="str">
        <x:v>T-001</x:v>
      </x:c>
      <x:c r="B2" s="18" t="str">
        <x:v>R-001</x:v>
      </x:c>
      <x:c r="C2" s="18" t="str">
        <x:v>Suspicious-login alert simulations</x:v>
      </x:c>
      <x:c r="D2" s="18" t="str">
        <x:v>18/20 detected; 2 new-device logins missed</x:v>
      </x:c>
      <x:c r="E2" s="18" t="str">
        <x:v>Rules updated; 20/20 alerts generated and investigated within target</x:v>
      </x:c>
      <x:c r="F2" s="18" t="str">
        <x:v>Improved for tested scenarios</x:v>
      </x:c>
      <x:c r="G2" s="18" t="str">
        <x:v>Retain test cases, alert logs and investigation tickets; not a guarantee of future detection</x:v>
      </x:c>
    </x:row>
    <x:row r="3" ht="55" customHeight="1">
      <x:c r="A3" s="18" t="str">
        <x:v>T-002</x:v>
      </x:c>
      <x:c r="B3" s="18" t="str">
        <x:v>R-001</x:v>
      </x:c>
      <x:c r="C3" s="18" t="str">
        <x:v>Account recovery identity verification</x:v>
      </x:c>
      <x:c r="D3" s="18" t="str">
        <x:v>3/4 passed; one reset using publicly available security-question information</x:v>
      </x:c>
      <x:c r="E3" s="18" t="str">
        <x:v>Verification strengthened; 4/4 passed</x:v>
      </x:c>
      <x:c r="F3" s="18" t="str">
        <x:v>Improved for tested scenarios</x:v>
      </x:c>
      <x:c r="G3" s="18" t="str">
        <x:v>Retain approved scenarios, staff outcomes, procedure change and retest record; no real customer affected</x:v>
      </x:c>
    </x:row>
    <x:row r="4" ht="55" customHeight="1">
      <x:c r="A4" s="18" t="str">
        <x:v>T-003</x:v>
      </x:c>
      <x:c r="B4" s="18" t="str">
        <x:v>R-001</x:v>
      </x:c>
      <x:c r="C4" s="18" t="str">
        <x:v>Controlled employee phishing simulation</x:v>
      </x:c>
      <x:c r="D4" s="18" t="str">
        <x:v>100 participants; 20 clicked; 5 entered credentials; 10 reported</x:v>
      </x:c>
      <x:c r="E4" s="18" t="str">
        <x:v>Targeted training and further simulations still required</x:v>
      </x:c>
      <x:c r="F4" s="18" t="str">
        <x:v>Action remains open</x:v>
      </x:c>
      <x:c r="G4" s="18" t="str">
        <x:v>Simulated results only; review causes and retest rather than assume staff are now resistant</x:v>
      </x:c>
    </x:row>
    <x:row r="5" ht="55" customHeight="1">
      <x:c r="A5" s="18" t="str">
        <x:v>T-004</x:v>
      </x:c>
      <x:c r="B5" s="18" t="str">
        <x:v>R-011</x:v>
      </x:c>
      <x:c r="C5" s="18" t="str">
        <x:v>Control test evidence retention review</x:v>
      </x:c>
      <x:c r="D5" s="18" t="str">
        <x:v>Earlier test evidence deleted; effectiveness could not be independently evidenced</x:v>
      </x:c>
      <x:c r="E5" s="18" t="str">
        <x:v>Monitoring retest 20/20 passed; separate bank-wide evidence process still needed</x:v>
      </x:c>
      <x:c r="F5" s="18" t="str">
        <x:v>Evidence-retention gap remains open</x:v>
      </x:c>
      <x:c r="G5" s="18" t="str">
        <x:v>Missing historical evidence cannot be recreated merely by a successful retest</x:v>
      </x:c>
    </x:row>
    <x:row r="6" ht="55" customHeight="1">
      <x:c r="A6" s="18" t="str">
        <x:v>T-005</x:v>
      </x:c>
      <x:c r="B6" s="18" t="str">
        <x:v>R-011</x:v>
      </x:c>
      <x:c r="C6" s="18" t="str">
        <x:v>Cross-department retention practices</x:v>
      </x:c>
      <x:c r="D6" s="18" t="str">
        <x:v>Similar evidence handling gaps across three departments</x:v>
      </x:c>
      <x:c r="E6" s="18" t="str">
        <x:v>Central policy, repository and periodic checks proposed</x:v>
      </x:c>
      <x:c r="F6" s="18" t="str">
        <x:v>Bank-wide systemic issue</x:v>
      </x:c>
      <x:c r="G6" s="18" t="str">
        <x:v>Department findings should be linked under one overarching risk</x:v>
      </x:c>
    </x:row>
  </x:sheetData>
  <x:pageMargins left="0.7" right="0.7" top="0.75" bottom="0.75" header="0.3" footer="0.3"/>
</x:worksheet>
</file>

<file path=xl/worksheets/sheet6.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4" hidden="0" customWidth="1"/>
    <x:col min="2" max="2" width="14" hidden="0" customWidth="1"/>
    <x:col min="3" max="3" width="38" hidden="0" customWidth="1"/>
    <x:col min="4" max="4" width="38" hidden="0" customWidth="1"/>
    <x:col min="5" max="5" width="38" hidden="0" customWidth="1"/>
    <x:col min="6" max="6" width="38" hidden="0" customWidth="1"/>
    <x:col min="7" max="7" width="38" hidden="0" customWidth="1"/>
  </x:cols>
  <x:sheetData>
    <x:row r="1" ht="30" customHeight="1">
      <x:c r="A1" s="21" t="str">
        <x:v>Action ID</x:v>
      </x:c>
      <x:c r="B1" s="21" t="str">
        <x:v>Risk ID</x:v>
      </x:c>
      <x:c r="C1" s="21" t="str">
        <x:v>Required action</x:v>
      </x:c>
      <x:c r="D1" s="21" t="str">
        <x:v>Accountable / responsible</x:v>
      </x:c>
      <x:c r="E1" s="21" t="str">
        <x:v>Completion evidence</x:v>
      </x:c>
      <x:c r="F1" s="21" t="str">
        <x:v>Status</x:v>
      </x:c>
      <x:c r="G1" s="21" t="str">
        <x:v>Closure rule</x:v>
      </x:c>
    </x:row>
    <x:row r="2" ht="55" customHeight="1">
      <x:c r="A2" s="18" t="str">
        <x:v>A-001</x:v>
      </x:c>
      <x:c r="B2" s="18" t="str">
        <x:v>R-001</x:v>
      </x:c>
      <x:c r="C2" s="18" t="str">
        <x:v>Complete phishing awareness training and controlled follow-up simulations</x:v>
      </x:c>
      <x:c r="D2" s="18" t="str">
        <x:v>Security Awareness Lead; Fraud Operations risk owner</x:v>
      </x:c>
      <x:c r="E2" s="18" t="str">
        <x:v>Attendance, simulation metrics, analysis, targeted retest</x:v>
      </x:c>
      <x:c r="F2" s="18" t="str">
        <x:v>Open</x:v>
      </x:c>
      <x:c r="G2" s="18" t="str">
        <x:v>Close action only after evidence reviewed; do not automatically close risk</x:v>
      </x:c>
    </x:row>
    <x:row r="3" ht="55" customHeight="1">
      <x:c r="A3" s="18" t="str">
        <x:v>A-002</x:v>
      </x:c>
      <x:c r="B3" s="18" t="str">
        <x:v>R-001</x:v>
      </x:c>
      <x:c r="C3" s="18" t="str">
        <x:v>Maintain monitoring rule effectiveness and periodic test coverage</x:v>
      </x:c>
      <x:c r="D3" s="18" t="str">
        <x:v>Security Operations</x:v>
      </x:c>
      <x:c r="E3" s="18" t="str">
        <x:v>Approved test cases, alerts, response tickets, exceptions</x:v>
      </x:c>
      <x:c r="F3" s="18" t="str">
        <x:v>Ongoing monitoring</x:v>
      </x:c>
      <x:c r="G3" s="18" t="str">
        <x:v>Review trends and gaps; escalate failures</x:v>
      </x:c>
    </x:row>
    <x:row r="4" ht="55" customHeight="1">
      <x:c r="A4" s="18" t="str">
        <x:v>A-003</x:v>
      </x:c>
      <x:c r="B4" s="18" t="str">
        <x:v>R-001</x:v>
      </x:c>
      <x:c r="C4" s="18" t="str">
        <x:v>Review recovery controls, MFA exceptions and overall residual rating</x:v>
      </x:c>
      <x:c r="D4" s="18" t="str">
        <x:v>Fraud Operations Manager with Information Security</x:v>
      </x:c>
      <x:c r="E4" s="18" t="str">
        <x:v>Control reviews, approved assessment and risk decision</x:v>
      </x:c>
      <x:c r="F4" s="18" t="str">
        <x:v>Open</x:v>
      </x:c>
      <x:c r="G4" s="18" t="str">
        <x:v>Authorised owner reviews risk against appetite</x:v>
      </x:c>
    </x:row>
    <x:row r="5" ht="55" customHeight="1">
      <x:c r="A5" s="18" t="str">
        <x:v>A-004</x:v>
      </x:c>
      <x:c r="B5" s="18" t="str">
        <x:v>R-011</x:v>
      </x:c>
      <x:c r="C5" s="18" t="str">
        <x:v>Approve bank-wide evidence retention policy and secure repository</x:v>
      </x:c>
      <x:c r="D5" s="18" t="str">
        <x:v>Head of Risk / designated owner</x:v>
      </x:c>
      <x:c r="E5" s="18" t="str">
        <x:v>Approved policy, access controls, retention schedule</x:v>
      </x:c>
      <x:c r="F5" s="18" t="str">
        <x:v>Open</x:v>
      </x:c>
      <x:c r="G5" s="18" t="str">
        <x:v>Policy approval alone does not demonstrate operation</x:v>
      </x:c>
    </x:row>
    <x:row r="6" ht="55" customHeight="1">
      <x:c r="A6" s="18" t="str">
        <x:v>A-005</x:v>
      </x:c>
      <x:c r="B6" s="18" t="str">
        <x:v>R-011</x:v>
      </x:c>
      <x:c r="C6" s="18" t="str">
        <x:v>Assign custodians and implement repository in affected departments</x:v>
      </x:c>
      <x:c r="D6" s="18" t="str">
        <x:v>Department managers</x:v>
      </x:c>
      <x:c r="E6" s="18" t="str">
        <x:v>Assigned responsibilities and actual uploaded evidence</x:v>
      </x:c>
      <x:c r="F6" s="18" t="str">
        <x:v>Open</x:v>
      </x:c>
      <x:c r="G6" s="18" t="str">
        <x:v>Verify each affected department follows the process</x:v>
      </x:c>
    </x:row>
    <x:row r="7" ht="55" customHeight="1">
      <x:c r="A7" s="18" t="str">
        <x:v>A-006</x:v>
      </x:c>
      <x:c r="B7" s="18" t="str">
        <x:v>R-011</x:v>
      </x:c>
      <x:c r="C7" s="18" t="str">
        <x:v>Conduct periodic retention checks and escalate repeated gaps</x:v>
      </x:c>
      <x:c r="D7" s="18" t="str">
        <x:v>Risk / Compliance oversight; independent audit assurance</x:v>
      </x:c>
      <x:c r="E7" s="18" t="str">
        <x:v>Sample checks, findings, escalation and remediation records</x:v>
      </x:c>
      <x:c r="F7" s="18" t="str">
        <x:v>Open</x:v>
      </x:c>
      <x:c r="G7" s="18" t="str">
        <x:v>Risk closure requires demonstrated effectiveness and authorised residual-risk decision</x:v>
      </x:c>
    </x:row>
  </x:sheetData>
  <x:pageMargins left="0.7" right="0.7" top="0.75" bottom="0.75" header="0.3" footer="0.3"/>
</x:worksheet>
</file>

<file path=xl/worksheets/sheet7.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4" hidden="0" customWidth="1"/>
    <x:col min="2" max="2" width="105" hidden="0" customWidth="1"/>
  </x:cols>
  <x:sheetData>
    <x:row r="1" ht="30" customHeight="1">
      <x:c r="A1" s="21" t="str">
        <x:v>Field</x:v>
      </x:c>
      <x:c r="B1" s="21" t="str">
        <x:v>Project conclusion</x:v>
      </x:c>
    </x:row>
    <x:row r="2" ht="55" customHeight="1">
      <x:c r="A2" s="18" t="str">
        <x:v>Organisation</x:v>
      </x:c>
      <x:c r="B2" s="18" t="str">
        <x:v>Ubuntu Digital Bank — fictional South African digital bank</x:v>
      </x:c>
    </x:row>
    <x:row r="3" ht="55" customHeight="1">
      <x:c r="A3" s="18" t="str">
        <x:v>Scope</x:v>
      </x:c>
      <x:c r="B3" s="18" t="str">
        <x:v>Illustrative general banking GRC register, with detailed learning assessment of R-001 and R-011</x:v>
      </x:c>
    </x:row>
    <x:row r="4" ht="55" customHeight="1">
      <x:c r="A4" s="18" t="str">
        <x:v>Method</x:v>
      </x:c>
      <x:c r="B4" s="18" t="str">
        <x:v>Identify risks; rate likelihood and impact 1–5; assess controls; test simulated scenarios; reassess residual risk; document treatment, ownership and evidence</x:v>
      </x:c>
    </x:row>
    <x:row r="5" ht="55" customHeight="1">
      <x:c r="A5" s="18" t="str">
        <x:v>Risk bands</x:v>
      </x:c>
      <x:c r="B5" s="18" t="str">
        <x:v>1–5 Low; 6–11 Medium; 12–19 High; 20–25 Critical</x:v>
      </x:c>
    </x:row>
    <x:row r="6" ht="55" customHeight="1">
      <x:c r="A6" s="18" t="str">
        <x:v>R-001 inherent</x:v>
      </x:c>
      <x:c r="B6" s="18" t="str">
        <x:v>4 × 5 = 20, Critical</x:v>
      </x:c>
    </x:row>
    <x:row r="7" ht="55" customHeight="1">
      <x:c r="A7" s="18" t="str">
        <x:v>R-001 residual</x:v>
      </x:c>
      <x:c r="B7" s="18" t="str">
        <x:v>3 × 5 = 15, High — provisional; further treatment and authorised review required</x:v>
      </x:c>
    </x:row>
    <x:row r="8" ht="55" customHeight="1">
      <x:c r="A8" s="18" t="str">
        <x:v>R-001 key finding</x:v>
      </x:c>
      <x:c r="B8" s="18" t="str">
        <x:v>Monitoring and recovery tests improved after remediation; phishing awareness still partial</x:v>
      </x:c>
    </x:row>
    <x:row r="9" ht="55" customHeight="1">
      <x:c r="A9" s="18" t="str">
        <x:v>R-011 key finding</x:v>
      </x:c>
      <x:c r="B9" s="18" t="str">
        <x:v>Evidence retention weaknesses across three departments justify one bank-wide risk with department-level actions</x:v>
      </x:c>
    </x:row>
    <x:row r="10" ht="55" customHeight="1">
      <x:c r="A10" s="18" t="str">
        <x:v>Governance</x:v>
      </x:c>
      <x:c r="B10" s="18" t="str">
        <x:v>Risk owner accountable for treatment/acceptance; control owners operate controls; independent audit evaluates effectiveness</x:v>
      </x:c>
    </x:row>
    <x:row r="11" ht="55" customHeight="1">
      <x:c r="A11" s="18" t="str">
        <x:v>Project limitations</x:v>
      </x:c>
      <x:c r="B11" s="18" t="str">
        <x:v>All scenarios and test results are fictional educational simulations. Other register risks are illustrative, not fully assessed. Owners, dates and R-011 scores are proposals, not real approvals.</x:v>
      </x:c>
    </x:row>
    <x:row r="12" ht="55" customHeight="1">
      <x:c r="A12" s="18" t="str">
        <x:v>Completion status</x:v>
      </x:c>
      <x:c r="B12" s="18" t="str">
        <x:v>Portfolio-ready documented case study; remediation actions remain open and risk closure is not claimed</x:v>
      </x:c>
    </x:row>
  </x:sheetData>
  <x:pageMargins left="0.7" right="0.7" top="0.75" bottom="0.75" header="0.3" footer="0.3"/>
</x:worksheet>
</file>